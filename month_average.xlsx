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edikt\Programming\Climate_Data_Home\"/>
    </mc:Choice>
  </mc:AlternateContent>
  <xr:revisionPtr revIDLastSave="0" documentId="8_{3896D9B7-F6D5-4A11-AE4F-E6AD573FFCB7}" xr6:coauthVersionLast="47" xr6:coauthVersionMax="47" xr10:uidLastSave="{00000000-0000-0000-0000-000000000000}"/>
  <bookViews>
    <workbookView xWindow="28680" yWindow="-120" windowWidth="29040" windowHeight="15720" xr2:uid="{817FA175-D70C-465E-B13D-F41A00F1C7CC}"/>
  </bookViews>
  <sheets>
    <sheet name="month_aver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9" i="1" l="1"/>
  <c r="A40" i="1" s="1"/>
  <c r="A41" i="1" s="1"/>
  <c r="A42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" i="1"/>
</calcChain>
</file>

<file path=xl/sharedStrings.xml><?xml version="1.0" encoding="utf-8"?>
<sst xmlns="http://schemas.openxmlformats.org/spreadsheetml/2006/main" count="21" uniqueCount="21">
  <si>
    <t>Zeit</t>
  </si>
  <si>
    <t>Temperatur Innen(â„ƒ)</t>
  </si>
  <si>
    <t>Luftfeuchtigkeit Innen(%)</t>
  </si>
  <si>
    <t>Temperatur Aussen(â„ƒ)</t>
  </si>
  <si>
    <t>Luftfeuchtigkeit Aussen(%)</t>
  </si>
  <si>
    <t>Taupunkt(â„ƒ)</t>
  </si>
  <si>
    <t>GefÃ¼hlte Temperatur(â„ƒ)</t>
  </si>
  <si>
    <t>Wind(m/s)</t>
  </si>
  <si>
    <t>BÃ¶e(m/s)</t>
  </si>
  <si>
    <t>Windrichtung(Â°)</t>
  </si>
  <si>
    <t>Abs. Luftdruck(hpa)</t>
  </si>
  <si>
    <t>Rel. Luftdruck(hpa)</t>
  </si>
  <si>
    <t>Sonneneinstrahlung(w/m2)</t>
  </si>
  <si>
    <t>UVI</t>
  </si>
  <si>
    <t>Regen/Stunde(mm)</t>
  </si>
  <si>
    <t>Regen Event(mm)</t>
  </si>
  <si>
    <t>Regen/Tag(mm)</t>
  </si>
  <si>
    <t>Regen/Wochen(mm)</t>
  </si>
  <si>
    <t>Regen/Monat(mm)</t>
  </si>
  <si>
    <t>Regen/Jahre(mm)</t>
  </si>
  <si>
    <t>Pm2.5(ug/m3)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</si>
</sst>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month_average!$C$1</c:f>
              <c:strCache>
                <c:ptCount val="1"/>
                <c:pt idx="0">
                  <c:v>Luftfeuchtigkeit Innen(%)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month_average!$C$2:$C$42</c:f>
              <c:numCache>
                <c:formatCode>General</c:formatCode>
                <c:ptCount val="41"/>
                <c:pt idx="0">
                  <c:v>40.89</c:v>
                </c:pt>
                <c:pt idx="1">
                  <c:v>44.28</c:v>
                </c:pt>
                <c:pt idx="2">
                  <c:v>44.86</c:v>
                </c:pt>
                <c:pt idx="3">
                  <c:v>48.75</c:v>
                </c:pt>
                <c:pt idx="4">
                  <c:v>50.3</c:v>
                </c:pt>
                <c:pt idx="5">
                  <c:v>53.8</c:v>
                </c:pt>
                <c:pt idx="6">
                  <c:v>59.27</c:v>
                </c:pt>
                <c:pt idx="7">
                  <c:v>57.12</c:v>
                </c:pt>
                <c:pt idx="8">
                  <c:v>57.34</c:v>
                </c:pt>
                <c:pt idx="9">
                  <c:v>55.54</c:v>
                </c:pt>
                <c:pt idx="10">
                  <c:v>51.21</c:v>
                </c:pt>
                <c:pt idx="11">
                  <c:v>44.72</c:v>
                </c:pt>
                <c:pt idx="12">
                  <c:v>50.22</c:v>
                </c:pt>
                <c:pt idx="13">
                  <c:v>42.14</c:v>
                </c:pt>
                <c:pt idx="14">
                  <c:v>45.71</c:v>
                </c:pt>
                <c:pt idx="15">
                  <c:v>52.69</c:v>
                </c:pt>
                <c:pt idx="16">
                  <c:v>52.7</c:v>
                </c:pt>
                <c:pt idx="17">
                  <c:v>54.69</c:v>
                </c:pt>
                <c:pt idx="18">
                  <c:v>58.36</c:v>
                </c:pt>
                <c:pt idx="19">
                  <c:v>57.11</c:v>
                </c:pt>
                <c:pt idx="20">
                  <c:v>55.01</c:v>
                </c:pt>
                <c:pt idx="21">
                  <c:v>50.71</c:v>
                </c:pt>
                <c:pt idx="22">
                  <c:v>46.01</c:v>
                </c:pt>
                <c:pt idx="23">
                  <c:v>41.99</c:v>
                </c:pt>
                <c:pt idx="24">
                  <c:v>39.590000000000003</c:v>
                </c:pt>
                <c:pt idx="25">
                  <c:v>38.19</c:v>
                </c:pt>
                <c:pt idx="26">
                  <c:v>40.200000000000003</c:v>
                </c:pt>
                <c:pt idx="27">
                  <c:v>41.7</c:v>
                </c:pt>
                <c:pt idx="28">
                  <c:v>54.21</c:v>
                </c:pt>
                <c:pt idx="29">
                  <c:v>54.79</c:v>
                </c:pt>
                <c:pt idx="30">
                  <c:v>53.18</c:v>
                </c:pt>
                <c:pt idx="31">
                  <c:v>54.28</c:v>
                </c:pt>
                <c:pt idx="32">
                  <c:v>54.38</c:v>
                </c:pt>
                <c:pt idx="33">
                  <c:v>50.35</c:v>
                </c:pt>
                <c:pt idx="34">
                  <c:v>47.68</c:v>
                </c:pt>
                <c:pt idx="35">
                  <c:v>42.26</c:v>
                </c:pt>
                <c:pt idx="36">
                  <c:v>44.96</c:v>
                </c:pt>
                <c:pt idx="37">
                  <c:v>41.7</c:v>
                </c:pt>
                <c:pt idx="38">
                  <c:v>43.39</c:v>
                </c:pt>
                <c:pt idx="39">
                  <c:v>48.15</c:v>
                </c:pt>
                <c:pt idx="40">
                  <c:v>53.23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7-432A-9501-60E1956E0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696768"/>
        <c:axId val="1496693888"/>
      </c:lineChart>
      <c:catAx>
        <c:axId val="14966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6693888"/>
        <c:crosses val="autoZero"/>
        <c:auto val="1"/>
        <c:lblAlgn val="ctr"/>
        <c:lblOffset val="100"/>
        <c:noMultiLvlLbl val="0"/>
      </c:catAx>
      <c:valAx>
        <c:axId val="14966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669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month_average!$K$1</c:f>
              <c:strCache>
                <c:ptCount val="1"/>
                <c:pt idx="0">
                  <c:v>Abs. Luftdruck(hpa)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month_average!$K$2:$K$42</c:f>
              <c:numCache>
                <c:formatCode>General</c:formatCode>
                <c:ptCount val="41"/>
                <c:pt idx="0">
                  <c:v>1014.72</c:v>
                </c:pt>
                <c:pt idx="1">
                  <c:v>996.96</c:v>
                </c:pt>
                <c:pt idx="2">
                  <c:v>1003.15</c:v>
                </c:pt>
                <c:pt idx="3">
                  <c:v>1007.36</c:v>
                </c:pt>
                <c:pt idx="4">
                  <c:v>1004.44</c:v>
                </c:pt>
                <c:pt idx="5">
                  <c:v>1000.5</c:v>
                </c:pt>
                <c:pt idx="6">
                  <c:v>1001.38</c:v>
                </c:pt>
                <c:pt idx="7">
                  <c:v>1004.3</c:v>
                </c:pt>
                <c:pt idx="8">
                  <c:v>997.85</c:v>
                </c:pt>
                <c:pt idx="9">
                  <c:v>993.68</c:v>
                </c:pt>
                <c:pt idx="10">
                  <c:v>1000.64</c:v>
                </c:pt>
                <c:pt idx="11">
                  <c:v>1005.44</c:v>
                </c:pt>
                <c:pt idx="12">
                  <c:v>999.51</c:v>
                </c:pt>
                <c:pt idx="13">
                  <c:v>995.73</c:v>
                </c:pt>
                <c:pt idx="14">
                  <c:v>1001.6</c:v>
                </c:pt>
                <c:pt idx="15">
                  <c:v>1000</c:v>
                </c:pt>
                <c:pt idx="16">
                  <c:v>1001.63</c:v>
                </c:pt>
                <c:pt idx="17">
                  <c:v>1002.31</c:v>
                </c:pt>
                <c:pt idx="18">
                  <c:v>1002.82</c:v>
                </c:pt>
                <c:pt idx="19">
                  <c:v>1002.15</c:v>
                </c:pt>
                <c:pt idx="20">
                  <c:v>1003.77</c:v>
                </c:pt>
                <c:pt idx="21">
                  <c:v>1008.01</c:v>
                </c:pt>
                <c:pt idx="22">
                  <c:v>1009.15</c:v>
                </c:pt>
                <c:pt idx="23">
                  <c:v>1002.8</c:v>
                </c:pt>
                <c:pt idx="24">
                  <c:v>1010.95</c:v>
                </c:pt>
                <c:pt idx="25">
                  <c:v>1004.24</c:v>
                </c:pt>
                <c:pt idx="26">
                  <c:v>1005.72</c:v>
                </c:pt>
                <c:pt idx="27">
                  <c:v>1005.37</c:v>
                </c:pt>
                <c:pt idx="28">
                  <c:v>1006.67</c:v>
                </c:pt>
                <c:pt idx="29">
                  <c:v>1003.74</c:v>
                </c:pt>
                <c:pt idx="30">
                  <c:v>1005.27</c:v>
                </c:pt>
                <c:pt idx="31">
                  <c:v>1005.88</c:v>
                </c:pt>
                <c:pt idx="32">
                  <c:v>1004.26</c:v>
                </c:pt>
                <c:pt idx="33">
                  <c:v>1001.7</c:v>
                </c:pt>
                <c:pt idx="34">
                  <c:v>1007.46</c:v>
                </c:pt>
                <c:pt idx="35">
                  <c:v>995.56</c:v>
                </c:pt>
                <c:pt idx="36">
                  <c:v>994.8</c:v>
                </c:pt>
                <c:pt idx="37">
                  <c:v>1007.88</c:v>
                </c:pt>
                <c:pt idx="38">
                  <c:v>1010.02</c:v>
                </c:pt>
                <c:pt idx="39">
                  <c:v>1005.8</c:v>
                </c:pt>
                <c:pt idx="40">
                  <c:v>1003.94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D-44FD-B6A6-576A1DA99D2C}"/>
            </c:ext>
          </c:extLst>
        </c:ser>
        <c:ser>
          <c:idx val="1"/>
          <c:order val="1"/>
          <c:tx>
            <c:strRef>
              <c:f>month_average!$L$1</c:f>
              <c:strCache>
                <c:ptCount val="1"/>
                <c:pt idx="0">
                  <c:v>Rel. Luftdruck(hpa)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month_average!$L$2:$L$42</c:f>
              <c:numCache>
                <c:formatCode>General</c:formatCode>
                <c:ptCount val="41"/>
                <c:pt idx="0">
                  <c:v>1014.72</c:v>
                </c:pt>
                <c:pt idx="1">
                  <c:v>996.96</c:v>
                </c:pt>
                <c:pt idx="2">
                  <c:v>1003.15</c:v>
                </c:pt>
                <c:pt idx="3">
                  <c:v>1007.36</c:v>
                </c:pt>
                <c:pt idx="4">
                  <c:v>1004.44</c:v>
                </c:pt>
                <c:pt idx="5">
                  <c:v>1000.5</c:v>
                </c:pt>
                <c:pt idx="6">
                  <c:v>1001.38</c:v>
                </c:pt>
                <c:pt idx="7">
                  <c:v>1004.3</c:v>
                </c:pt>
                <c:pt idx="8">
                  <c:v>997.85</c:v>
                </c:pt>
                <c:pt idx="9">
                  <c:v>993.68</c:v>
                </c:pt>
                <c:pt idx="10">
                  <c:v>1000.64</c:v>
                </c:pt>
                <c:pt idx="11">
                  <c:v>1005.44</c:v>
                </c:pt>
                <c:pt idx="12">
                  <c:v>999.51</c:v>
                </c:pt>
                <c:pt idx="13">
                  <c:v>995.73</c:v>
                </c:pt>
                <c:pt idx="14">
                  <c:v>1001.6</c:v>
                </c:pt>
                <c:pt idx="15">
                  <c:v>1000</c:v>
                </c:pt>
                <c:pt idx="16">
                  <c:v>1001.63</c:v>
                </c:pt>
                <c:pt idx="17">
                  <c:v>1002.31</c:v>
                </c:pt>
                <c:pt idx="18">
                  <c:v>1002.82</c:v>
                </c:pt>
                <c:pt idx="19">
                  <c:v>1002.15</c:v>
                </c:pt>
                <c:pt idx="20">
                  <c:v>1003.77</c:v>
                </c:pt>
                <c:pt idx="21">
                  <c:v>1008.01</c:v>
                </c:pt>
                <c:pt idx="22">
                  <c:v>1009.15</c:v>
                </c:pt>
                <c:pt idx="23">
                  <c:v>1002.8</c:v>
                </c:pt>
                <c:pt idx="24">
                  <c:v>1010.95</c:v>
                </c:pt>
                <c:pt idx="25">
                  <c:v>1004.24</c:v>
                </c:pt>
                <c:pt idx="26">
                  <c:v>1005.72</c:v>
                </c:pt>
                <c:pt idx="27">
                  <c:v>1005.37</c:v>
                </c:pt>
                <c:pt idx="28">
                  <c:v>1006.67</c:v>
                </c:pt>
                <c:pt idx="29">
                  <c:v>1003.74</c:v>
                </c:pt>
                <c:pt idx="30">
                  <c:v>1005.27</c:v>
                </c:pt>
                <c:pt idx="31">
                  <c:v>1005.88</c:v>
                </c:pt>
                <c:pt idx="32">
                  <c:v>1004.26</c:v>
                </c:pt>
                <c:pt idx="33">
                  <c:v>1001.7</c:v>
                </c:pt>
                <c:pt idx="34">
                  <c:v>1007.46</c:v>
                </c:pt>
                <c:pt idx="35">
                  <c:v>995.56</c:v>
                </c:pt>
                <c:pt idx="36">
                  <c:v>994.8</c:v>
                </c:pt>
                <c:pt idx="37">
                  <c:v>1007.88</c:v>
                </c:pt>
                <c:pt idx="38">
                  <c:v>1010.02</c:v>
                </c:pt>
                <c:pt idx="39">
                  <c:v>1005.8</c:v>
                </c:pt>
                <c:pt idx="40">
                  <c:v>1003.94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0D-44FD-B6A6-576A1DA9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714608"/>
        <c:axId val="2083701648"/>
      </c:lineChart>
      <c:catAx>
        <c:axId val="208371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701648"/>
        <c:crosses val="autoZero"/>
        <c:auto val="1"/>
        <c:lblAlgn val="ctr"/>
        <c:lblOffset val="100"/>
        <c:noMultiLvlLbl val="0"/>
      </c:catAx>
      <c:valAx>
        <c:axId val="20837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71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month_average!$B$1</c:f>
              <c:strCache>
                <c:ptCount val="1"/>
                <c:pt idx="0">
                  <c:v>Temperatur Innen(â„ƒ)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month_average!$B$2:$B$42</c:f>
              <c:numCache>
                <c:formatCode>General</c:formatCode>
                <c:ptCount val="41"/>
                <c:pt idx="0">
                  <c:v>21.85</c:v>
                </c:pt>
                <c:pt idx="1">
                  <c:v>20.96</c:v>
                </c:pt>
                <c:pt idx="2">
                  <c:v>21.67</c:v>
                </c:pt>
                <c:pt idx="3">
                  <c:v>22.03</c:v>
                </c:pt>
                <c:pt idx="4">
                  <c:v>23.45</c:v>
                </c:pt>
                <c:pt idx="5">
                  <c:v>23.5</c:v>
                </c:pt>
                <c:pt idx="6">
                  <c:v>23.76</c:v>
                </c:pt>
                <c:pt idx="7">
                  <c:v>23.75</c:v>
                </c:pt>
                <c:pt idx="8">
                  <c:v>21.37</c:v>
                </c:pt>
                <c:pt idx="9">
                  <c:v>20.32</c:v>
                </c:pt>
                <c:pt idx="10">
                  <c:v>20.2</c:v>
                </c:pt>
                <c:pt idx="11">
                  <c:v>20.74</c:v>
                </c:pt>
                <c:pt idx="12">
                  <c:v>20.62</c:v>
                </c:pt>
                <c:pt idx="13">
                  <c:v>22.35</c:v>
                </c:pt>
                <c:pt idx="14">
                  <c:v>21.5</c:v>
                </c:pt>
                <c:pt idx="15">
                  <c:v>22.57</c:v>
                </c:pt>
                <c:pt idx="16">
                  <c:v>22.88</c:v>
                </c:pt>
                <c:pt idx="17">
                  <c:v>24.05</c:v>
                </c:pt>
                <c:pt idx="18">
                  <c:v>24.43</c:v>
                </c:pt>
                <c:pt idx="19">
                  <c:v>23.33</c:v>
                </c:pt>
                <c:pt idx="20">
                  <c:v>22.31</c:v>
                </c:pt>
                <c:pt idx="21">
                  <c:v>21.91</c:v>
                </c:pt>
                <c:pt idx="22">
                  <c:v>21.64</c:v>
                </c:pt>
                <c:pt idx="23">
                  <c:v>21.94</c:v>
                </c:pt>
                <c:pt idx="24">
                  <c:v>22.29</c:v>
                </c:pt>
                <c:pt idx="25">
                  <c:v>22.78</c:v>
                </c:pt>
                <c:pt idx="26">
                  <c:v>22.85</c:v>
                </c:pt>
                <c:pt idx="27">
                  <c:v>23.34</c:v>
                </c:pt>
                <c:pt idx="28">
                  <c:v>23.36</c:v>
                </c:pt>
                <c:pt idx="29">
                  <c:v>24.05</c:v>
                </c:pt>
                <c:pt idx="30">
                  <c:v>24.05</c:v>
                </c:pt>
                <c:pt idx="31">
                  <c:v>23.12</c:v>
                </c:pt>
                <c:pt idx="32">
                  <c:v>21.77</c:v>
                </c:pt>
                <c:pt idx="33">
                  <c:v>21.91</c:v>
                </c:pt>
                <c:pt idx="34">
                  <c:v>21.7</c:v>
                </c:pt>
                <c:pt idx="35">
                  <c:v>21.77</c:v>
                </c:pt>
                <c:pt idx="36">
                  <c:v>21.86</c:v>
                </c:pt>
                <c:pt idx="37">
                  <c:v>22.42</c:v>
                </c:pt>
                <c:pt idx="38">
                  <c:v>21.31</c:v>
                </c:pt>
                <c:pt idx="39">
                  <c:v>22.72</c:v>
                </c:pt>
                <c:pt idx="40">
                  <c:v>22.65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9-41C3-AE33-FA747EC0DA2E}"/>
            </c:ext>
          </c:extLst>
        </c:ser>
        <c:ser>
          <c:idx val="1"/>
          <c:order val="1"/>
          <c:tx>
            <c:strRef>
              <c:f>month_average!$D$1</c:f>
              <c:strCache>
                <c:ptCount val="1"/>
                <c:pt idx="0">
                  <c:v>Temperatur Aussen(â„ƒ)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month_average!$D$2:$D$42</c:f>
              <c:numCache>
                <c:formatCode>General</c:formatCode>
                <c:ptCount val="41"/>
                <c:pt idx="0">
                  <c:v>1.01</c:v>
                </c:pt>
                <c:pt idx="1">
                  <c:v>6.99</c:v>
                </c:pt>
                <c:pt idx="2">
                  <c:v>9.64</c:v>
                </c:pt>
                <c:pt idx="3">
                  <c:v>14.25</c:v>
                </c:pt>
                <c:pt idx="4">
                  <c:v>20.420000000000002</c:v>
                </c:pt>
                <c:pt idx="5">
                  <c:v>19.54</c:v>
                </c:pt>
                <c:pt idx="6">
                  <c:v>18.690000000000001</c:v>
                </c:pt>
                <c:pt idx="7">
                  <c:v>18.5</c:v>
                </c:pt>
                <c:pt idx="8">
                  <c:v>13.47</c:v>
                </c:pt>
                <c:pt idx="9">
                  <c:v>7.42</c:v>
                </c:pt>
                <c:pt idx="10">
                  <c:v>6.2</c:v>
                </c:pt>
                <c:pt idx="11">
                  <c:v>2.97</c:v>
                </c:pt>
                <c:pt idx="12">
                  <c:v>8.23</c:v>
                </c:pt>
                <c:pt idx="13">
                  <c:v>9.23</c:v>
                </c:pt>
                <c:pt idx="14">
                  <c:v>11.04</c:v>
                </c:pt>
                <c:pt idx="15">
                  <c:v>15.67</c:v>
                </c:pt>
                <c:pt idx="16">
                  <c:v>16.96</c:v>
                </c:pt>
                <c:pt idx="17">
                  <c:v>19.309999999999999</c:v>
                </c:pt>
                <c:pt idx="18">
                  <c:v>20.85</c:v>
                </c:pt>
                <c:pt idx="19">
                  <c:v>16.12</c:v>
                </c:pt>
                <c:pt idx="20">
                  <c:v>12.17</c:v>
                </c:pt>
                <c:pt idx="21">
                  <c:v>6.7</c:v>
                </c:pt>
                <c:pt idx="22">
                  <c:v>4.4000000000000004</c:v>
                </c:pt>
                <c:pt idx="23">
                  <c:v>2.72</c:v>
                </c:pt>
                <c:pt idx="24">
                  <c:v>3.38</c:v>
                </c:pt>
                <c:pt idx="25">
                  <c:v>8.1199999999999992</c:v>
                </c:pt>
                <c:pt idx="26">
                  <c:v>11.77</c:v>
                </c:pt>
                <c:pt idx="27">
                  <c:v>14.81</c:v>
                </c:pt>
                <c:pt idx="28">
                  <c:v>19.72</c:v>
                </c:pt>
                <c:pt idx="29">
                  <c:v>19.37</c:v>
                </c:pt>
                <c:pt idx="30">
                  <c:v>19.5</c:v>
                </c:pt>
                <c:pt idx="31">
                  <c:v>15.61</c:v>
                </c:pt>
                <c:pt idx="32">
                  <c:v>11.48</c:v>
                </c:pt>
                <c:pt idx="33">
                  <c:v>7.04</c:v>
                </c:pt>
                <c:pt idx="34">
                  <c:v>4.93</c:v>
                </c:pt>
                <c:pt idx="35">
                  <c:v>2.15</c:v>
                </c:pt>
                <c:pt idx="36">
                  <c:v>5.91</c:v>
                </c:pt>
                <c:pt idx="37">
                  <c:v>8.31</c:v>
                </c:pt>
                <c:pt idx="38">
                  <c:v>11.01</c:v>
                </c:pt>
                <c:pt idx="39">
                  <c:v>15.01</c:v>
                </c:pt>
                <c:pt idx="40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9-41C3-AE33-FA747EC0DA2E}"/>
            </c:ext>
          </c:extLst>
        </c:ser>
        <c:ser>
          <c:idx val="2"/>
          <c:order val="2"/>
          <c:tx>
            <c:strRef>
              <c:f>month_average!$G$1</c:f>
              <c:strCache>
                <c:ptCount val="1"/>
                <c:pt idx="0">
                  <c:v>GefÃ¼hlte Temperatur(â„ƒ)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month_average!$G$2:$G$42</c:f>
              <c:numCache>
                <c:formatCode>General</c:formatCode>
                <c:ptCount val="41"/>
                <c:pt idx="0">
                  <c:v>-0.22</c:v>
                </c:pt>
                <c:pt idx="1">
                  <c:v>6.73</c:v>
                </c:pt>
                <c:pt idx="2">
                  <c:v>9.51</c:v>
                </c:pt>
                <c:pt idx="3">
                  <c:v>14.24</c:v>
                </c:pt>
                <c:pt idx="4">
                  <c:v>20.41</c:v>
                </c:pt>
                <c:pt idx="5">
                  <c:v>19.54</c:v>
                </c:pt>
                <c:pt idx="6">
                  <c:v>18.75</c:v>
                </c:pt>
                <c:pt idx="7">
                  <c:v>18.53</c:v>
                </c:pt>
                <c:pt idx="8">
                  <c:v>13.47</c:v>
                </c:pt>
                <c:pt idx="9">
                  <c:v>7.17</c:v>
                </c:pt>
                <c:pt idx="10">
                  <c:v>5.83</c:v>
                </c:pt>
                <c:pt idx="11">
                  <c:v>2.4</c:v>
                </c:pt>
                <c:pt idx="12">
                  <c:v>7.95</c:v>
                </c:pt>
                <c:pt idx="13">
                  <c:v>9.11</c:v>
                </c:pt>
                <c:pt idx="14">
                  <c:v>10.87</c:v>
                </c:pt>
                <c:pt idx="15">
                  <c:v>15.66</c:v>
                </c:pt>
                <c:pt idx="16">
                  <c:v>16.97</c:v>
                </c:pt>
                <c:pt idx="17">
                  <c:v>19.329999999999998</c:v>
                </c:pt>
                <c:pt idx="18">
                  <c:v>20.99</c:v>
                </c:pt>
                <c:pt idx="19">
                  <c:v>16.18</c:v>
                </c:pt>
                <c:pt idx="20">
                  <c:v>12.17</c:v>
                </c:pt>
                <c:pt idx="21">
                  <c:v>6.47</c:v>
                </c:pt>
                <c:pt idx="22">
                  <c:v>3.97</c:v>
                </c:pt>
                <c:pt idx="23">
                  <c:v>2.38</c:v>
                </c:pt>
                <c:pt idx="24">
                  <c:v>3.2</c:v>
                </c:pt>
                <c:pt idx="25">
                  <c:v>7.94</c:v>
                </c:pt>
                <c:pt idx="26">
                  <c:v>11.73</c:v>
                </c:pt>
                <c:pt idx="27">
                  <c:v>14.81</c:v>
                </c:pt>
                <c:pt idx="28">
                  <c:v>19.78</c:v>
                </c:pt>
                <c:pt idx="29">
                  <c:v>19.399999999999999</c:v>
                </c:pt>
                <c:pt idx="30">
                  <c:v>19.559999999999999</c:v>
                </c:pt>
                <c:pt idx="31">
                  <c:v>15.61</c:v>
                </c:pt>
                <c:pt idx="32">
                  <c:v>11.4</c:v>
                </c:pt>
                <c:pt idx="33">
                  <c:v>6.87</c:v>
                </c:pt>
                <c:pt idx="34">
                  <c:v>4.6900000000000004</c:v>
                </c:pt>
                <c:pt idx="35">
                  <c:v>1.74</c:v>
                </c:pt>
                <c:pt idx="36">
                  <c:v>5.71</c:v>
                </c:pt>
                <c:pt idx="37">
                  <c:v>8.1300000000000008</c:v>
                </c:pt>
                <c:pt idx="38">
                  <c:v>10.98</c:v>
                </c:pt>
                <c:pt idx="39">
                  <c:v>14.99</c:v>
                </c:pt>
                <c:pt idx="40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29-41C3-AE33-FA747EC0DA2E}"/>
            </c:ext>
          </c:extLst>
        </c:ser>
        <c:ser>
          <c:idx val="3"/>
          <c:order val="3"/>
          <c:tx>
            <c:strRef>
              <c:f>month_average!$M$1</c:f>
              <c:strCache>
                <c:ptCount val="1"/>
                <c:pt idx="0">
                  <c:v>Sonneneinstrahlung(w/m2)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month_average!$M$2:$M$42</c:f>
              <c:numCache>
                <c:formatCode>General</c:formatCode>
                <c:ptCount val="41"/>
                <c:pt idx="0">
                  <c:v>94.59</c:v>
                </c:pt>
                <c:pt idx="1">
                  <c:v>61.47</c:v>
                </c:pt>
                <c:pt idx="2">
                  <c:v>120.71</c:v>
                </c:pt>
                <c:pt idx="3">
                  <c:v>171.09</c:v>
                </c:pt>
                <c:pt idx="4">
                  <c:v>214.29</c:v>
                </c:pt>
                <c:pt idx="5">
                  <c:v>154.65</c:v>
                </c:pt>
                <c:pt idx="6">
                  <c:v>125.63</c:v>
                </c:pt>
                <c:pt idx="7">
                  <c:v>118.32</c:v>
                </c:pt>
                <c:pt idx="8">
                  <c:v>53.89</c:v>
                </c:pt>
                <c:pt idx="9">
                  <c:v>23.77</c:v>
                </c:pt>
                <c:pt idx="10">
                  <c:v>14.41</c:v>
                </c:pt>
                <c:pt idx="11">
                  <c:v>19.77</c:v>
                </c:pt>
                <c:pt idx="12">
                  <c:v>34.049999999999997</c:v>
                </c:pt>
                <c:pt idx="13">
                  <c:v>71.37</c:v>
                </c:pt>
                <c:pt idx="14">
                  <c:v>96.83</c:v>
                </c:pt>
                <c:pt idx="15">
                  <c:v>141.65</c:v>
                </c:pt>
                <c:pt idx="16">
                  <c:v>157.44999999999999</c:v>
                </c:pt>
                <c:pt idx="17">
                  <c:v>150.79</c:v>
                </c:pt>
                <c:pt idx="18">
                  <c:v>140.22</c:v>
                </c:pt>
                <c:pt idx="19">
                  <c:v>88.55</c:v>
                </c:pt>
                <c:pt idx="20">
                  <c:v>44.31</c:v>
                </c:pt>
                <c:pt idx="21">
                  <c:v>19.14</c:v>
                </c:pt>
                <c:pt idx="22">
                  <c:v>12.91</c:v>
                </c:pt>
                <c:pt idx="23">
                  <c:v>18.440000000000001</c:v>
                </c:pt>
                <c:pt idx="24">
                  <c:v>34.78</c:v>
                </c:pt>
                <c:pt idx="25">
                  <c:v>79.900000000000006</c:v>
                </c:pt>
                <c:pt idx="26">
                  <c:v>121.21</c:v>
                </c:pt>
                <c:pt idx="27">
                  <c:v>158.36000000000001</c:v>
                </c:pt>
                <c:pt idx="28">
                  <c:v>180.81</c:v>
                </c:pt>
                <c:pt idx="29">
                  <c:v>152.44999999999999</c:v>
                </c:pt>
                <c:pt idx="30">
                  <c:v>143.04</c:v>
                </c:pt>
                <c:pt idx="31">
                  <c:v>87.48</c:v>
                </c:pt>
                <c:pt idx="32">
                  <c:v>40.130000000000003</c:v>
                </c:pt>
                <c:pt idx="33">
                  <c:v>23.45</c:v>
                </c:pt>
                <c:pt idx="34">
                  <c:v>14.94</c:v>
                </c:pt>
                <c:pt idx="35">
                  <c:v>17.420000000000002</c:v>
                </c:pt>
                <c:pt idx="36">
                  <c:v>31.83</c:v>
                </c:pt>
                <c:pt idx="37">
                  <c:v>73.569999999999993</c:v>
                </c:pt>
                <c:pt idx="38">
                  <c:v>131.24</c:v>
                </c:pt>
                <c:pt idx="39">
                  <c:v>146.19</c:v>
                </c:pt>
                <c:pt idx="40">
                  <c:v>143.31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29-41C3-AE33-FA747EC0D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196304"/>
        <c:axId val="2094197744"/>
      </c:barChart>
      <c:catAx>
        <c:axId val="20941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4197744"/>
        <c:crosses val="autoZero"/>
        <c:auto val="1"/>
        <c:lblAlgn val="ctr"/>
        <c:lblOffset val="100"/>
        <c:noMultiLvlLbl val="0"/>
      </c:catAx>
      <c:valAx>
        <c:axId val="20941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41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month_average!$M$1</c:f>
              <c:strCache>
                <c:ptCount val="1"/>
                <c:pt idx="0">
                  <c:v>Sonneneinstrahlung(w/m2)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month_average!$M$2:$M$42</c:f>
              <c:numCache>
                <c:formatCode>General</c:formatCode>
                <c:ptCount val="41"/>
                <c:pt idx="0">
                  <c:v>94.59</c:v>
                </c:pt>
                <c:pt idx="1">
                  <c:v>61.47</c:v>
                </c:pt>
                <c:pt idx="2">
                  <c:v>120.71</c:v>
                </c:pt>
                <c:pt idx="3">
                  <c:v>171.09</c:v>
                </c:pt>
                <c:pt idx="4">
                  <c:v>214.29</c:v>
                </c:pt>
                <c:pt idx="5">
                  <c:v>154.65</c:v>
                </c:pt>
                <c:pt idx="6">
                  <c:v>125.63</c:v>
                </c:pt>
                <c:pt idx="7">
                  <c:v>118.32</c:v>
                </c:pt>
                <c:pt idx="8">
                  <c:v>53.89</c:v>
                </c:pt>
                <c:pt idx="9">
                  <c:v>23.77</c:v>
                </c:pt>
                <c:pt idx="10">
                  <c:v>14.41</c:v>
                </c:pt>
                <c:pt idx="11">
                  <c:v>19.77</c:v>
                </c:pt>
                <c:pt idx="12">
                  <c:v>34.049999999999997</c:v>
                </c:pt>
                <c:pt idx="13">
                  <c:v>71.37</c:v>
                </c:pt>
                <c:pt idx="14">
                  <c:v>96.83</c:v>
                </c:pt>
                <c:pt idx="15">
                  <c:v>141.65</c:v>
                </c:pt>
                <c:pt idx="16">
                  <c:v>157.44999999999999</c:v>
                </c:pt>
                <c:pt idx="17">
                  <c:v>150.79</c:v>
                </c:pt>
                <c:pt idx="18">
                  <c:v>140.22</c:v>
                </c:pt>
                <c:pt idx="19">
                  <c:v>88.55</c:v>
                </c:pt>
                <c:pt idx="20">
                  <c:v>44.31</c:v>
                </c:pt>
                <c:pt idx="21">
                  <c:v>19.14</c:v>
                </c:pt>
                <c:pt idx="22">
                  <c:v>12.91</c:v>
                </c:pt>
                <c:pt idx="23">
                  <c:v>18.440000000000001</c:v>
                </c:pt>
                <c:pt idx="24">
                  <c:v>34.78</c:v>
                </c:pt>
                <c:pt idx="25">
                  <c:v>79.900000000000006</c:v>
                </c:pt>
                <c:pt idx="26">
                  <c:v>121.21</c:v>
                </c:pt>
                <c:pt idx="27">
                  <c:v>158.36000000000001</c:v>
                </c:pt>
                <c:pt idx="28">
                  <c:v>180.81</c:v>
                </c:pt>
                <c:pt idx="29">
                  <c:v>152.44999999999999</c:v>
                </c:pt>
                <c:pt idx="30">
                  <c:v>143.04</c:v>
                </c:pt>
                <c:pt idx="31">
                  <c:v>87.48</c:v>
                </c:pt>
                <c:pt idx="32">
                  <c:v>40.130000000000003</c:v>
                </c:pt>
                <c:pt idx="33">
                  <c:v>23.45</c:v>
                </c:pt>
                <c:pt idx="34">
                  <c:v>14.94</c:v>
                </c:pt>
                <c:pt idx="35">
                  <c:v>17.420000000000002</c:v>
                </c:pt>
                <c:pt idx="36">
                  <c:v>31.83</c:v>
                </c:pt>
                <c:pt idx="37">
                  <c:v>73.569999999999993</c:v>
                </c:pt>
                <c:pt idx="38">
                  <c:v>131.24</c:v>
                </c:pt>
                <c:pt idx="39">
                  <c:v>146.19</c:v>
                </c:pt>
                <c:pt idx="40">
                  <c:v>143.31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C-45A0-A4FD-D73BD60E1ED2}"/>
            </c:ext>
          </c:extLst>
        </c:ser>
        <c:ser>
          <c:idx val="1"/>
          <c:order val="1"/>
          <c:tx>
            <c:strRef>
              <c:f>month_average!$N$1</c:f>
              <c:strCache>
                <c:ptCount val="1"/>
                <c:pt idx="0">
                  <c:v>UVI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month_average!$A$2:$A$42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month_average!$N$2:$N$42</c:f>
              <c:numCache>
                <c:formatCode>General</c:formatCode>
                <c:ptCount val="41"/>
                <c:pt idx="0">
                  <c:v>0.7</c:v>
                </c:pt>
                <c:pt idx="1">
                  <c:v>0.39</c:v>
                </c:pt>
                <c:pt idx="2">
                  <c:v>0.93</c:v>
                </c:pt>
                <c:pt idx="3">
                  <c:v>1.38</c:v>
                </c:pt>
                <c:pt idx="4">
                  <c:v>1.77</c:v>
                </c:pt>
                <c:pt idx="5">
                  <c:v>1.21</c:v>
                </c:pt>
                <c:pt idx="6">
                  <c:v>0.94</c:v>
                </c:pt>
                <c:pt idx="7">
                  <c:v>0.93</c:v>
                </c:pt>
                <c:pt idx="8">
                  <c:v>0.34</c:v>
                </c:pt>
                <c:pt idx="9">
                  <c:v>0.09</c:v>
                </c:pt>
                <c:pt idx="10">
                  <c:v>0.02</c:v>
                </c:pt>
                <c:pt idx="11">
                  <c:v>7.0000000000000007E-2</c:v>
                </c:pt>
                <c:pt idx="12">
                  <c:v>0.17</c:v>
                </c:pt>
                <c:pt idx="13">
                  <c:v>0.49</c:v>
                </c:pt>
                <c:pt idx="14">
                  <c:v>0.69</c:v>
                </c:pt>
                <c:pt idx="15">
                  <c:v>1.0900000000000001</c:v>
                </c:pt>
                <c:pt idx="16">
                  <c:v>1.23</c:v>
                </c:pt>
                <c:pt idx="17">
                  <c:v>1.18</c:v>
                </c:pt>
                <c:pt idx="18">
                  <c:v>1.1000000000000001</c:v>
                </c:pt>
                <c:pt idx="19">
                  <c:v>0.64</c:v>
                </c:pt>
                <c:pt idx="20">
                  <c:v>0.25</c:v>
                </c:pt>
                <c:pt idx="21">
                  <c:v>0.05</c:v>
                </c:pt>
                <c:pt idx="22">
                  <c:v>0.01</c:v>
                </c:pt>
                <c:pt idx="23">
                  <c:v>0.04</c:v>
                </c:pt>
                <c:pt idx="24">
                  <c:v>0.17</c:v>
                </c:pt>
                <c:pt idx="25">
                  <c:v>0.56000000000000005</c:v>
                </c:pt>
                <c:pt idx="26">
                  <c:v>0.93</c:v>
                </c:pt>
                <c:pt idx="27">
                  <c:v>1.26</c:v>
                </c:pt>
                <c:pt idx="28">
                  <c:v>1.45</c:v>
                </c:pt>
                <c:pt idx="29">
                  <c:v>1.19</c:v>
                </c:pt>
                <c:pt idx="30">
                  <c:v>1.1299999999999999</c:v>
                </c:pt>
                <c:pt idx="31">
                  <c:v>0.63</c:v>
                </c:pt>
                <c:pt idx="32">
                  <c:v>0.21</c:v>
                </c:pt>
                <c:pt idx="33">
                  <c:v>0.09</c:v>
                </c:pt>
                <c:pt idx="34">
                  <c:v>0.02</c:v>
                </c:pt>
                <c:pt idx="35">
                  <c:v>0.04</c:v>
                </c:pt>
                <c:pt idx="36">
                  <c:v>0.14000000000000001</c:v>
                </c:pt>
                <c:pt idx="37">
                  <c:v>0.49</c:v>
                </c:pt>
                <c:pt idx="38">
                  <c:v>1.03</c:v>
                </c:pt>
                <c:pt idx="39">
                  <c:v>1.1399999999999999</c:v>
                </c:pt>
                <c:pt idx="40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C-45A0-A4FD-D73BD60E1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695408"/>
        <c:axId val="2083694448"/>
      </c:lineChart>
      <c:catAx>
        <c:axId val="208369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694448"/>
        <c:crosses val="autoZero"/>
        <c:auto val="1"/>
        <c:lblAlgn val="ctr"/>
        <c:lblOffset val="100"/>
        <c:noMultiLvlLbl val="0"/>
      </c:catAx>
      <c:valAx>
        <c:axId val="20836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6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561975</xdr:colOff>
      <xdr:row>18</xdr:row>
      <xdr:rowOff>119062</xdr:rowOff>
    </xdr:from>
    <xdr:to>
      <xdr:col>27</xdr:col>
      <xdr:colOff>561975</xdr:colOff>
      <xdr:row>33</xdr:row>
      <xdr:rowOff>4762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697FEF1-FB33-E8D8-461D-4C2EC40CB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581025</xdr:colOff>
      <xdr:row>34</xdr:row>
      <xdr:rowOff>80962</xdr:rowOff>
    </xdr:from>
    <xdr:to>
      <xdr:col>27</xdr:col>
      <xdr:colOff>581025</xdr:colOff>
      <xdr:row>48</xdr:row>
      <xdr:rowOff>157162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601CE1D2-D828-1DA0-17E4-63ED9D77E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542925</xdr:colOff>
      <xdr:row>3</xdr:row>
      <xdr:rowOff>33337</xdr:rowOff>
    </xdr:from>
    <xdr:to>
      <xdr:col>27</xdr:col>
      <xdr:colOff>542925</xdr:colOff>
      <xdr:row>17</xdr:row>
      <xdr:rowOff>109537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F9E006E-C2C3-A461-CACC-BA87C256C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9525</xdr:colOff>
      <xdr:row>3</xdr:row>
      <xdr:rowOff>42861</xdr:rowOff>
    </xdr:from>
    <xdr:to>
      <xdr:col>34</xdr:col>
      <xdr:colOff>9525</xdr:colOff>
      <xdr:row>48</xdr:row>
      <xdr:rowOff>114300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552C9F08-68BD-E39D-2CD1-97D0E7045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E7A1-DBE4-45F0-B872-D3D02D151EC5}">
  <dimension ref="A1:U42"/>
  <sheetViews>
    <sheetView tabSelected="1" topLeftCell="A7" workbookViewId="0">
      <selection activeCell="U26" sqref="U26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21.85</v>
      </c>
      <c r="C2">
        <v>40.89</v>
      </c>
      <c r="D2">
        <v>1.01</v>
      </c>
      <c r="E2">
        <v>61.62</v>
      </c>
      <c r="F2">
        <v>-5.92</v>
      </c>
      <c r="G2">
        <v>-0.22</v>
      </c>
      <c r="H2">
        <v>1.46</v>
      </c>
      <c r="I2">
        <v>1.87</v>
      </c>
      <c r="J2">
        <v>216.87</v>
      </c>
      <c r="K2">
        <v>1014.72</v>
      </c>
      <c r="L2">
        <v>1014.72</v>
      </c>
      <c r="M2">
        <v>94.59</v>
      </c>
      <c r="N2">
        <v>0.7</v>
      </c>
      <c r="O2">
        <v>0</v>
      </c>
      <c r="P2">
        <v>0</v>
      </c>
      <c r="Q2">
        <v>0</v>
      </c>
      <c r="R2">
        <v>2.2000000000000002</v>
      </c>
      <c r="S2">
        <v>23.3</v>
      </c>
      <c r="T2">
        <v>65</v>
      </c>
    </row>
    <row r="3" spans="1:21" x14ac:dyDescent="0.25">
      <c r="A3">
        <f>A2+1</f>
        <v>2</v>
      </c>
      <c r="B3">
        <v>20.96</v>
      </c>
      <c r="C3">
        <v>44.28</v>
      </c>
      <c r="D3">
        <v>6.99</v>
      </c>
      <c r="E3">
        <v>77.150000000000006</v>
      </c>
      <c r="F3">
        <v>3.01</v>
      </c>
      <c r="G3">
        <v>6.73</v>
      </c>
      <c r="H3">
        <v>1.1499999999999999</v>
      </c>
      <c r="I3">
        <v>1.57</v>
      </c>
      <c r="J3">
        <v>211.55</v>
      </c>
      <c r="K3">
        <v>996.96</v>
      </c>
      <c r="L3">
        <v>996.96</v>
      </c>
      <c r="M3">
        <v>61.47</v>
      </c>
      <c r="N3">
        <v>0.39</v>
      </c>
      <c r="O3">
        <v>0.12</v>
      </c>
      <c r="P3">
        <v>4.1500000000000004</v>
      </c>
      <c r="Q3">
        <v>1.52</v>
      </c>
      <c r="R3">
        <v>10.58</v>
      </c>
      <c r="S3">
        <v>38.18</v>
      </c>
      <c r="T3">
        <v>103.18</v>
      </c>
    </row>
    <row r="4" spans="1:21" x14ac:dyDescent="0.25">
      <c r="A4">
        <f t="shared" ref="A4:A42" si="0">A3+1</f>
        <v>3</v>
      </c>
      <c r="B4">
        <v>21.67</v>
      </c>
      <c r="C4">
        <v>44.86</v>
      </c>
      <c r="D4">
        <v>9.64</v>
      </c>
      <c r="E4">
        <v>71.540000000000006</v>
      </c>
      <c r="F4">
        <v>4.21</v>
      </c>
      <c r="G4">
        <v>9.51</v>
      </c>
      <c r="H4">
        <v>0.98</v>
      </c>
      <c r="I4">
        <v>1.37</v>
      </c>
      <c r="J4">
        <v>206.7</v>
      </c>
      <c r="K4">
        <v>1003.15</v>
      </c>
      <c r="L4">
        <v>1003.15</v>
      </c>
      <c r="M4">
        <v>120.71</v>
      </c>
      <c r="N4">
        <v>0.93</v>
      </c>
      <c r="O4">
        <v>0.06</v>
      </c>
      <c r="P4">
        <v>1.84</v>
      </c>
      <c r="Q4">
        <v>0.66</v>
      </c>
      <c r="R4">
        <v>5.87</v>
      </c>
      <c r="S4">
        <v>31.21</v>
      </c>
      <c r="T4">
        <v>177.01</v>
      </c>
    </row>
    <row r="5" spans="1:21" x14ac:dyDescent="0.25">
      <c r="A5">
        <f t="shared" si="0"/>
        <v>4</v>
      </c>
      <c r="B5">
        <v>22.03</v>
      </c>
      <c r="C5">
        <v>48.75</v>
      </c>
      <c r="D5">
        <v>14.25</v>
      </c>
      <c r="E5">
        <v>72.31</v>
      </c>
      <c r="F5">
        <v>8.7200000000000006</v>
      </c>
      <c r="G5">
        <v>14.24</v>
      </c>
      <c r="H5">
        <v>0.93</v>
      </c>
      <c r="I5">
        <v>1.27</v>
      </c>
      <c r="J5">
        <v>210.28</v>
      </c>
      <c r="K5">
        <v>1007.36</v>
      </c>
      <c r="L5">
        <v>1007.36</v>
      </c>
      <c r="M5">
        <v>171.09</v>
      </c>
      <c r="N5">
        <v>1.38</v>
      </c>
      <c r="O5">
        <v>0.08</v>
      </c>
      <c r="P5">
        <v>3.53</v>
      </c>
      <c r="Q5">
        <v>0.99</v>
      </c>
      <c r="R5">
        <v>6.84</v>
      </c>
      <c r="S5">
        <v>46.41</v>
      </c>
      <c r="T5">
        <v>240.51</v>
      </c>
    </row>
    <row r="6" spans="1:21" x14ac:dyDescent="0.25">
      <c r="A6">
        <f t="shared" si="0"/>
        <v>5</v>
      </c>
      <c r="B6">
        <v>23.45</v>
      </c>
      <c r="C6">
        <v>50.3</v>
      </c>
      <c r="D6">
        <v>20.420000000000002</v>
      </c>
      <c r="E6">
        <v>58.94</v>
      </c>
      <c r="F6">
        <v>11.19</v>
      </c>
      <c r="G6">
        <v>20.41</v>
      </c>
      <c r="H6">
        <v>0.79</v>
      </c>
      <c r="I6">
        <v>1.1100000000000001</v>
      </c>
      <c r="J6">
        <v>185.14</v>
      </c>
      <c r="K6">
        <v>1004.44</v>
      </c>
      <c r="L6">
        <v>1004.44</v>
      </c>
      <c r="M6">
        <v>214.29</v>
      </c>
      <c r="N6">
        <v>1.77</v>
      </c>
      <c r="O6">
        <v>0.03</v>
      </c>
      <c r="P6">
        <v>0.86</v>
      </c>
      <c r="Q6">
        <v>0.41</v>
      </c>
      <c r="R6">
        <v>2.17</v>
      </c>
      <c r="S6">
        <v>5.37</v>
      </c>
      <c r="T6">
        <v>265.47000000000003</v>
      </c>
    </row>
    <row r="7" spans="1:21" x14ac:dyDescent="0.25">
      <c r="A7">
        <f t="shared" si="0"/>
        <v>6</v>
      </c>
      <c r="B7">
        <v>23.5</v>
      </c>
      <c r="C7">
        <v>53.8</v>
      </c>
      <c r="D7">
        <v>19.54</v>
      </c>
      <c r="E7">
        <v>66.959999999999994</v>
      </c>
      <c r="F7">
        <v>12.49</v>
      </c>
      <c r="G7">
        <v>19.54</v>
      </c>
      <c r="H7">
        <v>0.85</v>
      </c>
      <c r="I7">
        <v>1.25</v>
      </c>
      <c r="J7">
        <v>182.42</v>
      </c>
      <c r="K7">
        <v>1000.5</v>
      </c>
      <c r="L7">
        <v>1000.5</v>
      </c>
      <c r="M7">
        <v>154.65</v>
      </c>
      <c r="N7">
        <v>1.21</v>
      </c>
      <c r="O7">
        <v>0.09</v>
      </c>
      <c r="P7">
        <v>3.9</v>
      </c>
      <c r="Q7">
        <v>1.08</v>
      </c>
      <c r="R7">
        <v>7.42</v>
      </c>
      <c r="S7">
        <v>17.489999999999998</v>
      </c>
      <c r="T7">
        <v>302.49</v>
      </c>
    </row>
    <row r="8" spans="1:21" x14ac:dyDescent="0.25">
      <c r="A8">
        <f t="shared" si="0"/>
        <v>7</v>
      </c>
      <c r="B8">
        <v>23.76</v>
      </c>
      <c r="C8">
        <v>59.27</v>
      </c>
      <c r="D8">
        <v>18.690000000000001</v>
      </c>
      <c r="E8">
        <v>80.599999999999994</v>
      </c>
      <c r="F8">
        <v>14.98</v>
      </c>
      <c r="G8">
        <v>18.75</v>
      </c>
      <c r="H8">
        <v>0.66</v>
      </c>
      <c r="I8">
        <v>0.96</v>
      </c>
      <c r="J8">
        <v>181.72</v>
      </c>
      <c r="K8">
        <v>1001.38</v>
      </c>
      <c r="L8">
        <v>1001.38</v>
      </c>
      <c r="M8">
        <v>125.63</v>
      </c>
      <c r="N8">
        <v>0.94</v>
      </c>
      <c r="O8">
        <v>0.11</v>
      </c>
      <c r="P8">
        <v>5.14</v>
      </c>
      <c r="Q8">
        <v>1.39</v>
      </c>
      <c r="R8">
        <v>9.49</v>
      </c>
      <c r="S8">
        <v>50.75</v>
      </c>
      <c r="T8">
        <v>406.65</v>
      </c>
    </row>
    <row r="9" spans="1:21" x14ac:dyDescent="0.25">
      <c r="A9">
        <f t="shared" si="0"/>
        <v>8</v>
      </c>
      <c r="B9">
        <v>23.75</v>
      </c>
      <c r="C9">
        <v>57.12</v>
      </c>
      <c r="D9">
        <v>18.5</v>
      </c>
      <c r="E9">
        <v>77.02</v>
      </c>
      <c r="F9">
        <v>13.91</v>
      </c>
      <c r="G9">
        <v>18.53</v>
      </c>
      <c r="H9">
        <v>0.54</v>
      </c>
      <c r="I9">
        <v>0.77</v>
      </c>
      <c r="J9">
        <v>178.65</v>
      </c>
      <c r="K9">
        <v>1004.3</v>
      </c>
      <c r="L9">
        <v>1004.3</v>
      </c>
      <c r="M9">
        <v>118.32</v>
      </c>
      <c r="N9">
        <v>0.93</v>
      </c>
      <c r="O9">
        <v>7.0000000000000007E-2</v>
      </c>
      <c r="P9">
        <v>2.4</v>
      </c>
      <c r="Q9">
        <v>0.57999999999999996</v>
      </c>
      <c r="R9">
        <v>7.26</v>
      </c>
      <c r="S9">
        <v>31.33</v>
      </c>
      <c r="T9">
        <v>476.13</v>
      </c>
    </row>
    <row r="10" spans="1:21" x14ac:dyDescent="0.25">
      <c r="A10">
        <f t="shared" si="0"/>
        <v>9</v>
      </c>
      <c r="B10">
        <v>21.37</v>
      </c>
      <c r="C10">
        <v>57.34</v>
      </c>
      <c r="D10">
        <v>13.47</v>
      </c>
      <c r="E10">
        <v>83.02</v>
      </c>
      <c r="F10">
        <v>10.37</v>
      </c>
      <c r="G10">
        <v>13.47</v>
      </c>
      <c r="H10">
        <v>0.7</v>
      </c>
      <c r="I10">
        <v>1.01</v>
      </c>
      <c r="J10">
        <v>191.7</v>
      </c>
      <c r="K10">
        <v>997.85</v>
      </c>
      <c r="L10">
        <v>997.85</v>
      </c>
      <c r="M10">
        <v>53.89</v>
      </c>
      <c r="N10">
        <v>0.34</v>
      </c>
      <c r="O10">
        <v>0.13</v>
      </c>
      <c r="P10">
        <v>5.79</v>
      </c>
      <c r="Q10">
        <v>1.65</v>
      </c>
      <c r="R10">
        <v>11.69</v>
      </c>
      <c r="S10">
        <v>40.130000000000003</v>
      </c>
      <c r="T10">
        <v>539.83000000000004</v>
      </c>
    </row>
    <row r="11" spans="1:21" x14ac:dyDescent="0.25">
      <c r="A11">
        <f t="shared" si="0"/>
        <v>10</v>
      </c>
      <c r="B11">
        <v>20.32</v>
      </c>
      <c r="C11">
        <v>55.54</v>
      </c>
      <c r="D11">
        <v>7.42</v>
      </c>
      <c r="E11">
        <v>87.48</v>
      </c>
      <c r="F11">
        <v>5.37</v>
      </c>
      <c r="G11">
        <v>7.17</v>
      </c>
      <c r="H11">
        <v>1.1200000000000001</v>
      </c>
      <c r="I11">
        <v>1.59</v>
      </c>
      <c r="J11">
        <v>205.74</v>
      </c>
      <c r="K11">
        <v>993.68</v>
      </c>
      <c r="L11">
        <v>993.68</v>
      </c>
      <c r="M11">
        <v>23.77</v>
      </c>
      <c r="N11">
        <v>0.09</v>
      </c>
      <c r="O11">
        <v>0.15</v>
      </c>
      <c r="P11">
        <v>5.0599999999999996</v>
      </c>
      <c r="Q11">
        <v>1.52</v>
      </c>
      <c r="R11">
        <v>13.05</v>
      </c>
      <c r="S11">
        <v>42.01</v>
      </c>
      <c r="T11">
        <v>647.41</v>
      </c>
    </row>
    <row r="12" spans="1:21" x14ac:dyDescent="0.25">
      <c r="A12">
        <f t="shared" si="0"/>
        <v>11</v>
      </c>
      <c r="B12">
        <v>20.2</v>
      </c>
      <c r="C12">
        <v>51.21</v>
      </c>
      <c r="D12">
        <v>6.2</v>
      </c>
      <c r="E12">
        <v>88.05</v>
      </c>
      <c r="F12">
        <v>4.3</v>
      </c>
      <c r="G12">
        <v>5.83</v>
      </c>
      <c r="H12">
        <v>1.24</v>
      </c>
      <c r="I12">
        <v>1.74</v>
      </c>
      <c r="J12">
        <v>195.29</v>
      </c>
      <c r="K12">
        <v>1000.64</v>
      </c>
      <c r="L12">
        <v>1000.64</v>
      </c>
      <c r="M12">
        <v>14.41</v>
      </c>
      <c r="N12">
        <v>0.02</v>
      </c>
      <c r="O12">
        <v>0.11</v>
      </c>
      <c r="P12">
        <v>3.93</v>
      </c>
      <c r="Q12">
        <v>1.01</v>
      </c>
      <c r="R12">
        <v>13.37</v>
      </c>
      <c r="S12">
        <v>37.46</v>
      </c>
      <c r="T12">
        <v>754.06</v>
      </c>
    </row>
    <row r="13" spans="1:21" x14ac:dyDescent="0.25">
      <c r="A13">
        <f t="shared" si="0"/>
        <v>12</v>
      </c>
      <c r="B13">
        <v>20.74</v>
      </c>
      <c r="C13">
        <v>44.72</v>
      </c>
      <c r="D13">
        <v>2.97</v>
      </c>
      <c r="E13">
        <v>84.23</v>
      </c>
      <c r="F13">
        <v>0.44</v>
      </c>
      <c r="G13">
        <v>2.4</v>
      </c>
      <c r="H13">
        <v>1.1499999999999999</v>
      </c>
      <c r="I13">
        <v>1.59</v>
      </c>
      <c r="J13">
        <v>204</v>
      </c>
      <c r="K13">
        <v>1005.44</v>
      </c>
      <c r="L13">
        <v>1005.44</v>
      </c>
      <c r="M13">
        <v>19.77</v>
      </c>
      <c r="N13">
        <v>7.0000000000000007E-2</v>
      </c>
      <c r="O13">
        <v>0.05</v>
      </c>
      <c r="P13">
        <v>2.1</v>
      </c>
      <c r="Q13">
        <v>0.76</v>
      </c>
      <c r="R13">
        <v>5.66</v>
      </c>
      <c r="S13">
        <v>30.18</v>
      </c>
      <c r="T13">
        <v>30.18</v>
      </c>
    </row>
    <row r="14" spans="1:21" x14ac:dyDescent="0.25">
      <c r="A14">
        <f t="shared" si="0"/>
        <v>13</v>
      </c>
      <c r="B14">
        <v>20.62</v>
      </c>
      <c r="C14">
        <v>50.22</v>
      </c>
      <c r="D14">
        <v>8.23</v>
      </c>
      <c r="E14">
        <v>85.89</v>
      </c>
      <c r="F14">
        <v>5.91</v>
      </c>
      <c r="G14">
        <v>7.95</v>
      </c>
      <c r="H14">
        <v>1.1399999999999999</v>
      </c>
      <c r="I14">
        <v>1.58</v>
      </c>
      <c r="J14">
        <v>203.55</v>
      </c>
      <c r="K14">
        <v>999.51</v>
      </c>
      <c r="L14">
        <v>999.51</v>
      </c>
      <c r="M14">
        <v>34.049999999999997</v>
      </c>
      <c r="N14">
        <v>0.17</v>
      </c>
      <c r="O14">
        <v>0.11</v>
      </c>
      <c r="P14">
        <v>5.99</v>
      </c>
      <c r="Q14">
        <v>1.56</v>
      </c>
      <c r="R14">
        <v>10.35</v>
      </c>
      <c r="S14">
        <v>41.69</v>
      </c>
      <c r="T14">
        <v>82.79</v>
      </c>
    </row>
    <row r="15" spans="1:21" x14ac:dyDescent="0.25">
      <c r="A15">
        <f t="shared" si="0"/>
        <v>14</v>
      </c>
      <c r="B15">
        <v>22.35</v>
      </c>
      <c r="C15">
        <v>42.14</v>
      </c>
      <c r="D15">
        <v>9.23</v>
      </c>
      <c r="E15">
        <v>79.97</v>
      </c>
      <c r="F15">
        <v>5.69</v>
      </c>
      <c r="G15">
        <v>9.11</v>
      </c>
      <c r="H15">
        <v>0.76</v>
      </c>
      <c r="I15">
        <v>1.07</v>
      </c>
      <c r="J15">
        <v>179.71</v>
      </c>
      <c r="K15">
        <v>995.73</v>
      </c>
      <c r="L15">
        <v>995.73</v>
      </c>
      <c r="M15">
        <v>71.37</v>
      </c>
      <c r="N15">
        <v>0.49</v>
      </c>
      <c r="O15">
        <v>0.1</v>
      </c>
      <c r="P15">
        <v>5.27</v>
      </c>
      <c r="Q15">
        <v>1.56</v>
      </c>
      <c r="R15">
        <v>12.99</v>
      </c>
      <c r="S15">
        <v>38.75</v>
      </c>
      <c r="T15">
        <v>162.65</v>
      </c>
    </row>
    <row r="16" spans="1:21" x14ac:dyDescent="0.25">
      <c r="A16">
        <f t="shared" si="0"/>
        <v>15</v>
      </c>
      <c r="B16">
        <v>21.5</v>
      </c>
      <c r="C16">
        <v>45.71</v>
      </c>
      <c r="D16">
        <v>11.04</v>
      </c>
      <c r="E16">
        <v>76.63</v>
      </c>
      <c r="F16">
        <v>6.69</v>
      </c>
      <c r="G16">
        <v>10.87</v>
      </c>
      <c r="H16">
        <v>1.07</v>
      </c>
      <c r="I16">
        <v>1.5</v>
      </c>
      <c r="J16">
        <v>191.79</v>
      </c>
      <c r="K16">
        <v>1001.6</v>
      </c>
      <c r="L16">
        <v>1001.6</v>
      </c>
      <c r="M16">
        <v>96.83</v>
      </c>
      <c r="N16">
        <v>0.69</v>
      </c>
      <c r="O16">
        <v>0.13</v>
      </c>
      <c r="P16">
        <v>5.68</v>
      </c>
      <c r="Q16">
        <v>1.21</v>
      </c>
      <c r="R16">
        <v>17.84</v>
      </c>
      <c r="S16">
        <v>50.74</v>
      </c>
      <c r="T16">
        <v>252.64</v>
      </c>
    </row>
    <row r="17" spans="1:20" x14ac:dyDescent="0.25">
      <c r="A17">
        <f t="shared" si="0"/>
        <v>16</v>
      </c>
      <c r="B17">
        <v>22.57</v>
      </c>
      <c r="C17">
        <v>52.69</v>
      </c>
      <c r="D17">
        <v>15.67</v>
      </c>
      <c r="E17">
        <v>81.63</v>
      </c>
      <c r="F17">
        <v>12.12</v>
      </c>
      <c r="G17">
        <v>15.66</v>
      </c>
      <c r="H17">
        <v>0.64</v>
      </c>
      <c r="I17">
        <v>0.93</v>
      </c>
      <c r="J17">
        <v>170.19</v>
      </c>
      <c r="K17">
        <v>1000</v>
      </c>
      <c r="L17">
        <v>1000</v>
      </c>
      <c r="M17">
        <v>141.65</v>
      </c>
      <c r="N17">
        <v>1.0900000000000001</v>
      </c>
      <c r="O17">
        <v>0.19</v>
      </c>
      <c r="P17">
        <v>5.77</v>
      </c>
      <c r="Q17">
        <v>1.78</v>
      </c>
      <c r="R17">
        <v>17.79</v>
      </c>
      <c r="S17">
        <v>80</v>
      </c>
      <c r="T17">
        <v>377.2</v>
      </c>
    </row>
    <row r="18" spans="1:20" x14ac:dyDescent="0.25">
      <c r="A18">
        <f t="shared" si="0"/>
        <v>17</v>
      </c>
      <c r="B18">
        <v>22.88</v>
      </c>
      <c r="C18">
        <v>52.7</v>
      </c>
      <c r="D18">
        <v>16.96</v>
      </c>
      <c r="E18">
        <v>75.290000000000006</v>
      </c>
      <c r="F18">
        <v>12.05</v>
      </c>
      <c r="G18">
        <v>16.97</v>
      </c>
      <c r="H18">
        <v>0.78</v>
      </c>
      <c r="I18">
        <v>1.0900000000000001</v>
      </c>
      <c r="J18">
        <v>173.42</v>
      </c>
      <c r="K18">
        <v>1001.63</v>
      </c>
      <c r="L18">
        <v>1001.63</v>
      </c>
      <c r="M18">
        <v>157.44999999999999</v>
      </c>
      <c r="N18">
        <v>1.23</v>
      </c>
      <c r="O18">
        <v>0.09</v>
      </c>
      <c r="P18">
        <v>2.5499999999999998</v>
      </c>
      <c r="Q18">
        <v>1.29</v>
      </c>
      <c r="R18">
        <v>6.8</v>
      </c>
      <c r="S18">
        <v>24.43</v>
      </c>
      <c r="T18">
        <v>471.03</v>
      </c>
    </row>
    <row r="19" spans="1:20" x14ac:dyDescent="0.25">
      <c r="A19">
        <f t="shared" si="0"/>
        <v>18</v>
      </c>
      <c r="B19">
        <v>24.05</v>
      </c>
      <c r="C19">
        <v>54.69</v>
      </c>
      <c r="D19">
        <v>19.309999999999999</v>
      </c>
      <c r="E19">
        <v>75.63</v>
      </c>
      <c r="F19">
        <v>14.41</v>
      </c>
      <c r="G19">
        <v>19.329999999999998</v>
      </c>
      <c r="H19">
        <v>0.61</v>
      </c>
      <c r="I19">
        <v>0.87</v>
      </c>
      <c r="J19">
        <v>176.13</v>
      </c>
      <c r="K19">
        <v>1002.31</v>
      </c>
      <c r="L19">
        <v>1002.31</v>
      </c>
      <c r="M19">
        <v>150.79</v>
      </c>
      <c r="N19">
        <v>1.18</v>
      </c>
      <c r="O19">
        <v>0.11</v>
      </c>
      <c r="P19">
        <v>4.54</v>
      </c>
      <c r="Q19">
        <v>1.29</v>
      </c>
      <c r="R19">
        <v>8.85</v>
      </c>
      <c r="S19">
        <v>39.4</v>
      </c>
      <c r="T19">
        <v>552</v>
      </c>
    </row>
    <row r="20" spans="1:20" x14ac:dyDescent="0.25">
      <c r="A20">
        <f t="shared" si="0"/>
        <v>19</v>
      </c>
      <c r="B20">
        <v>24.43</v>
      </c>
      <c r="C20">
        <v>58.36</v>
      </c>
      <c r="D20">
        <v>20.85</v>
      </c>
      <c r="E20">
        <v>76.099999999999994</v>
      </c>
      <c r="F20">
        <v>16.059999999999999</v>
      </c>
      <c r="G20">
        <v>20.99</v>
      </c>
      <c r="H20">
        <v>0.69</v>
      </c>
      <c r="I20">
        <v>0.97</v>
      </c>
      <c r="J20">
        <v>197.01</v>
      </c>
      <c r="K20">
        <v>1002.82</v>
      </c>
      <c r="L20">
        <v>1002.82</v>
      </c>
      <c r="M20">
        <v>140.22</v>
      </c>
      <c r="N20">
        <v>1.1000000000000001</v>
      </c>
      <c r="O20">
        <v>0.08</v>
      </c>
      <c r="P20">
        <v>2.08</v>
      </c>
      <c r="Q20">
        <v>0.77</v>
      </c>
      <c r="R20">
        <v>4.46</v>
      </c>
      <c r="S20">
        <v>33.799999999999997</v>
      </c>
      <c r="T20">
        <v>631.20000000000005</v>
      </c>
    </row>
    <row r="21" spans="1:20" x14ac:dyDescent="0.25">
      <c r="A21">
        <f t="shared" si="0"/>
        <v>20</v>
      </c>
      <c r="B21">
        <v>23.33</v>
      </c>
      <c r="C21">
        <v>57.11</v>
      </c>
      <c r="D21">
        <v>16.12</v>
      </c>
      <c r="E21">
        <v>82.97</v>
      </c>
      <c r="F21">
        <v>12.93</v>
      </c>
      <c r="G21">
        <v>16.18</v>
      </c>
      <c r="H21">
        <v>0.74</v>
      </c>
      <c r="I21">
        <v>1.06</v>
      </c>
      <c r="J21">
        <v>184.08</v>
      </c>
      <c r="K21">
        <v>1002.15</v>
      </c>
      <c r="L21">
        <v>1002.15</v>
      </c>
      <c r="M21">
        <v>88.55</v>
      </c>
      <c r="N21">
        <v>0.64</v>
      </c>
      <c r="O21">
        <v>0.1</v>
      </c>
      <c r="P21">
        <v>3.19</v>
      </c>
      <c r="Q21">
        <v>0.93</v>
      </c>
      <c r="R21">
        <v>11.56</v>
      </c>
      <c r="S21">
        <v>38.979999999999997</v>
      </c>
      <c r="T21">
        <v>698.08</v>
      </c>
    </row>
    <row r="22" spans="1:20" x14ac:dyDescent="0.25">
      <c r="A22">
        <f t="shared" si="0"/>
        <v>21</v>
      </c>
      <c r="B22">
        <v>22.31</v>
      </c>
      <c r="C22">
        <v>55.01</v>
      </c>
      <c r="D22">
        <v>12.17</v>
      </c>
      <c r="E22">
        <v>90.15</v>
      </c>
      <c r="F22">
        <v>10.51</v>
      </c>
      <c r="G22">
        <v>12.17</v>
      </c>
      <c r="H22">
        <v>0.49</v>
      </c>
      <c r="I22">
        <v>0.7</v>
      </c>
      <c r="J22">
        <v>205.07</v>
      </c>
      <c r="K22">
        <v>1003.77</v>
      </c>
      <c r="L22">
        <v>1003.77</v>
      </c>
      <c r="M22">
        <v>44.31</v>
      </c>
      <c r="N22">
        <v>0.25</v>
      </c>
      <c r="O22">
        <v>7.0000000000000007E-2</v>
      </c>
      <c r="P22">
        <v>2.61</v>
      </c>
      <c r="Q22">
        <v>0.99</v>
      </c>
      <c r="R22">
        <v>6.55</v>
      </c>
      <c r="S22">
        <v>33.07</v>
      </c>
      <c r="T22">
        <v>766.27</v>
      </c>
    </row>
    <row r="23" spans="1:20" x14ac:dyDescent="0.25">
      <c r="A23">
        <f t="shared" si="0"/>
        <v>22</v>
      </c>
      <c r="B23">
        <v>21.91</v>
      </c>
      <c r="C23">
        <v>50.71</v>
      </c>
      <c r="D23">
        <v>6.7</v>
      </c>
      <c r="E23">
        <v>90.68</v>
      </c>
      <c r="F23">
        <v>5.18</v>
      </c>
      <c r="G23">
        <v>6.47</v>
      </c>
      <c r="H23">
        <v>0.85</v>
      </c>
      <c r="I23">
        <v>1.2</v>
      </c>
      <c r="J23">
        <v>185.6</v>
      </c>
      <c r="K23">
        <v>1008.01</v>
      </c>
      <c r="L23">
        <v>1008.01</v>
      </c>
      <c r="M23">
        <v>19.14</v>
      </c>
      <c r="N23">
        <v>0.05</v>
      </c>
      <c r="O23">
        <v>0.08</v>
      </c>
      <c r="P23">
        <v>4.72</v>
      </c>
      <c r="Q23">
        <v>1.1599999999999999</v>
      </c>
      <c r="R23">
        <v>9.1</v>
      </c>
      <c r="S23">
        <v>27.56</v>
      </c>
      <c r="T23">
        <v>814.66</v>
      </c>
    </row>
    <row r="24" spans="1:20" x14ac:dyDescent="0.25">
      <c r="A24">
        <f t="shared" si="0"/>
        <v>23</v>
      </c>
      <c r="B24">
        <v>21.64</v>
      </c>
      <c r="C24">
        <v>46.01</v>
      </c>
      <c r="D24">
        <v>4.4000000000000004</v>
      </c>
      <c r="E24">
        <v>90.63</v>
      </c>
      <c r="F24">
        <v>2.94</v>
      </c>
      <c r="G24">
        <v>3.97</v>
      </c>
      <c r="H24">
        <v>1</v>
      </c>
      <c r="I24">
        <v>1.38</v>
      </c>
      <c r="J24">
        <v>200.17</v>
      </c>
      <c r="K24">
        <v>1009.15</v>
      </c>
      <c r="L24">
        <v>1009.15</v>
      </c>
      <c r="M24">
        <v>12.91</v>
      </c>
      <c r="N24">
        <v>0.01</v>
      </c>
      <c r="O24">
        <v>7.0000000000000007E-2</v>
      </c>
      <c r="P24">
        <v>2.2999999999999998</v>
      </c>
      <c r="Q24">
        <v>1.02</v>
      </c>
      <c r="R24">
        <v>6.38</v>
      </c>
      <c r="S24">
        <v>33.22</v>
      </c>
      <c r="T24">
        <v>882.02</v>
      </c>
    </row>
    <row r="25" spans="1:20" x14ac:dyDescent="0.25">
      <c r="A25">
        <f t="shared" si="0"/>
        <v>24</v>
      </c>
      <c r="B25">
        <v>21.94</v>
      </c>
      <c r="C25">
        <v>41.99</v>
      </c>
      <c r="D25">
        <v>2.72</v>
      </c>
      <c r="E25">
        <v>91.79</v>
      </c>
      <c r="F25">
        <v>1.43</v>
      </c>
      <c r="G25">
        <v>2.38</v>
      </c>
      <c r="H25">
        <v>0.85</v>
      </c>
      <c r="I25">
        <v>1.2</v>
      </c>
      <c r="J25">
        <v>170.34</v>
      </c>
      <c r="K25">
        <v>1002.8</v>
      </c>
      <c r="L25">
        <v>1002.8</v>
      </c>
      <c r="M25">
        <v>18.440000000000001</v>
      </c>
      <c r="N25">
        <v>0.04</v>
      </c>
      <c r="O25">
        <v>0.12</v>
      </c>
      <c r="P25">
        <v>4.51</v>
      </c>
      <c r="Q25">
        <v>1.71</v>
      </c>
      <c r="R25">
        <v>7.45</v>
      </c>
      <c r="S25">
        <v>54.97</v>
      </c>
      <c r="T25">
        <v>54.97</v>
      </c>
    </row>
    <row r="26" spans="1:20" x14ac:dyDescent="0.25">
      <c r="A26">
        <f t="shared" si="0"/>
        <v>25</v>
      </c>
      <c r="B26">
        <v>22.29</v>
      </c>
      <c r="C26">
        <v>39.590000000000003</v>
      </c>
      <c r="D26">
        <v>3.38</v>
      </c>
      <c r="E26">
        <v>84.45</v>
      </c>
      <c r="F26">
        <v>0.84</v>
      </c>
      <c r="G26">
        <v>3.2</v>
      </c>
      <c r="H26">
        <v>0.57999999999999996</v>
      </c>
      <c r="I26">
        <v>0.82</v>
      </c>
      <c r="J26">
        <v>183.56</v>
      </c>
      <c r="K26">
        <v>1010.95</v>
      </c>
      <c r="L26">
        <v>1010.95</v>
      </c>
      <c r="M26">
        <v>34.78</v>
      </c>
      <c r="N26">
        <v>0.17</v>
      </c>
      <c r="O26">
        <v>0.02</v>
      </c>
      <c r="P26">
        <v>0.34</v>
      </c>
      <c r="Q26">
        <v>0.25</v>
      </c>
      <c r="R26">
        <v>2.0699999999999998</v>
      </c>
      <c r="S26">
        <v>4.21</v>
      </c>
      <c r="T26">
        <v>94.21</v>
      </c>
    </row>
    <row r="27" spans="1:20" x14ac:dyDescent="0.25">
      <c r="A27">
        <f t="shared" si="0"/>
        <v>26</v>
      </c>
      <c r="B27">
        <v>22.78</v>
      </c>
      <c r="C27">
        <v>38.19</v>
      </c>
      <c r="D27">
        <v>8.1199999999999992</v>
      </c>
      <c r="E27">
        <v>69.319999999999993</v>
      </c>
      <c r="F27">
        <v>2.13</v>
      </c>
      <c r="G27">
        <v>7.94</v>
      </c>
      <c r="H27">
        <v>0.74</v>
      </c>
      <c r="I27">
        <v>1.02</v>
      </c>
      <c r="J27">
        <v>183.03</v>
      </c>
      <c r="K27">
        <v>1004.24</v>
      </c>
      <c r="L27">
        <v>1004.24</v>
      </c>
      <c r="M27">
        <v>79.900000000000006</v>
      </c>
      <c r="N27">
        <v>0.56000000000000005</v>
      </c>
      <c r="O27">
        <v>0.01</v>
      </c>
      <c r="P27">
        <v>0.35</v>
      </c>
      <c r="Q27">
        <v>0.22</v>
      </c>
      <c r="R27">
        <v>1.44</v>
      </c>
      <c r="S27">
        <v>3.43</v>
      </c>
      <c r="T27">
        <v>105.83</v>
      </c>
    </row>
    <row r="28" spans="1:20" x14ac:dyDescent="0.25">
      <c r="A28">
        <f t="shared" si="0"/>
        <v>27</v>
      </c>
      <c r="B28">
        <v>22.85</v>
      </c>
      <c r="C28">
        <v>40.200000000000003</v>
      </c>
      <c r="D28">
        <v>11.77</v>
      </c>
      <c r="E28">
        <v>71.209999999999994</v>
      </c>
      <c r="F28">
        <v>5.91</v>
      </c>
      <c r="G28">
        <v>11.73</v>
      </c>
      <c r="H28">
        <v>0.73</v>
      </c>
      <c r="I28">
        <v>1.04</v>
      </c>
      <c r="J28">
        <v>177.61</v>
      </c>
      <c r="K28">
        <v>1005.72</v>
      </c>
      <c r="L28">
        <v>1005.72</v>
      </c>
      <c r="M28">
        <v>121.21</v>
      </c>
      <c r="N28">
        <v>0.93</v>
      </c>
      <c r="O28">
        <v>7.0000000000000007E-2</v>
      </c>
      <c r="P28">
        <v>2.42</v>
      </c>
      <c r="Q28">
        <v>0.88</v>
      </c>
      <c r="R28">
        <v>6.5</v>
      </c>
      <c r="S28">
        <v>16.100000000000001</v>
      </c>
      <c r="T28">
        <v>129.9</v>
      </c>
    </row>
    <row r="29" spans="1:20" x14ac:dyDescent="0.25">
      <c r="A29">
        <f t="shared" si="0"/>
        <v>28</v>
      </c>
      <c r="B29">
        <v>23.34</v>
      </c>
      <c r="C29">
        <v>41.7</v>
      </c>
      <c r="D29">
        <v>14.81</v>
      </c>
      <c r="E29">
        <v>66.709999999999994</v>
      </c>
      <c r="F29">
        <v>7.97</v>
      </c>
      <c r="G29">
        <v>14.81</v>
      </c>
      <c r="H29">
        <v>0.9</v>
      </c>
      <c r="I29">
        <v>1.26</v>
      </c>
      <c r="J29">
        <v>166.62</v>
      </c>
      <c r="K29">
        <v>1005.37</v>
      </c>
      <c r="L29">
        <v>1005.37</v>
      </c>
      <c r="M29">
        <v>158.36000000000001</v>
      </c>
      <c r="N29">
        <v>1.26</v>
      </c>
      <c r="O29">
        <v>0.08</v>
      </c>
      <c r="P29">
        <v>1.78</v>
      </c>
      <c r="Q29">
        <v>0.72</v>
      </c>
      <c r="R29">
        <v>2.82</v>
      </c>
      <c r="S29">
        <v>18.13</v>
      </c>
      <c r="T29">
        <v>181.73</v>
      </c>
    </row>
    <row r="30" spans="1:20" x14ac:dyDescent="0.25">
      <c r="A30">
        <f t="shared" si="0"/>
        <v>29</v>
      </c>
      <c r="B30">
        <v>23.36</v>
      </c>
      <c r="C30">
        <v>54.21</v>
      </c>
      <c r="D30">
        <v>19.72</v>
      </c>
      <c r="E30">
        <v>70.88</v>
      </c>
      <c r="F30">
        <v>13.71</v>
      </c>
      <c r="G30">
        <v>19.78</v>
      </c>
      <c r="H30">
        <v>0.73</v>
      </c>
      <c r="I30">
        <v>1.04</v>
      </c>
      <c r="J30">
        <v>175.46</v>
      </c>
      <c r="K30">
        <v>1006.67</v>
      </c>
      <c r="L30">
        <v>1006.67</v>
      </c>
      <c r="M30">
        <v>180.81</v>
      </c>
      <c r="N30">
        <v>1.45</v>
      </c>
      <c r="O30">
        <v>7.0000000000000007E-2</v>
      </c>
      <c r="P30">
        <v>3.02</v>
      </c>
      <c r="Q30">
        <v>1.25</v>
      </c>
      <c r="R30">
        <v>5.29</v>
      </c>
      <c r="S30">
        <v>25.72</v>
      </c>
      <c r="T30">
        <v>252.82</v>
      </c>
    </row>
    <row r="31" spans="1:20" x14ac:dyDescent="0.25">
      <c r="A31">
        <f t="shared" si="0"/>
        <v>30</v>
      </c>
      <c r="B31">
        <v>24.05</v>
      </c>
      <c r="C31">
        <v>54.79</v>
      </c>
      <c r="D31">
        <v>19.37</v>
      </c>
      <c r="E31">
        <v>75.319999999999993</v>
      </c>
      <c r="F31">
        <v>14.36</v>
      </c>
      <c r="G31">
        <v>19.399999999999999</v>
      </c>
      <c r="H31">
        <v>0.72</v>
      </c>
      <c r="I31">
        <v>1.03</v>
      </c>
      <c r="J31">
        <v>171.16</v>
      </c>
      <c r="K31">
        <v>1003.74</v>
      </c>
      <c r="L31">
        <v>1003.74</v>
      </c>
      <c r="M31">
        <v>152.44999999999999</v>
      </c>
      <c r="N31">
        <v>1.19</v>
      </c>
      <c r="O31">
        <v>0.13</v>
      </c>
      <c r="P31">
        <v>4.42</v>
      </c>
      <c r="Q31">
        <v>1.1599999999999999</v>
      </c>
      <c r="R31">
        <v>9.09</v>
      </c>
      <c r="S31">
        <v>37.270000000000003</v>
      </c>
      <c r="T31">
        <v>319.47000000000003</v>
      </c>
    </row>
    <row r="32" spans="1:20" x14ac:dyDescent="0.25">
      <c r="A32">
        <f t="shared" si="0"/>
        <v>31</v>
      </c>
      <c r="B32">
        <v>24.05</v>
      </c>
      <c r="C32">
        <v>53.18</v>
      </c>
      <c r="D32">
        <v>19.5</v>
      </c>
      <c r="E32">
        <v>71.56</v>
      </c>
      <c r="F32">
        <v>13.68</v>
      </c>
      <c r="G32">
        <v>19.559999999999999</v>
      </c>
      <c r="H32">
        <v>0.72</v>
      </c>
      <c r="I32">
        <v>1</v>
      </c>
      <c r="J32">
        <v>178.28</v>
      </c>
      <c r="K32">
        <v>1005.27</v>
      </c>
      <c r="L32">
        <v>1005.27</v>
      </c>
      <c r="M32">
        <v>143.04</v>
      </c>
      <c r="N32">
        <v>1.1299999999999999</v>
      </c>
      <c r="O32">
        <v>0.04</v>
      </c>
      <c r="P32">
        <v>2.2400000000000002</v>
      </c>
      <c r="Q32">
        <v>0.47</v>
      </c>
      <c r="R32">
        <v>6.14</v>
      </c>
      <c r="S32">
        <v>15.52</v>
      </c>
      <c r="T32">
        <v>399.62</v>
      </c>
    </row>
    <row r="33" spans="1:20" x14ac:dyDescent="0.25">
      <c r="A33">
        <f t="shared" si="0"/>
        <v>32</v>
      </c>
      <c r="B33">
        <v>23.12</v>
      </c>
      <c r="C33">
        <v>54.28</v>
      </c>
      <c r="D33">
        <v>15.61</v>
      </c>
      <c r="E33">
        <v>81.13</v>
      </c>
      <c r="F33">
        <v>12.1</v>
      </c>
      <c r="G33">
        <v>15.61</v>
      </c>
      <c r="H33">
        <v>0.86</v>
      </c>
      <c r="I33">
        <v>1.2</v>
      </c>
      <c r="J33">
        <v>189.82</v>
      </c>
      <c r="K33">
        <v>1005.88</v>
      </c>
      <c r="L33">
        <v>1005.88</v>
      </c>
      <c r="M33">
        <v>87.48</v>
      </c>
      <c r="N33">
        <v>0.63</v>
      </c>
      <c r="O33">
        <v>0.12</v>
      </c>
      <c r="P33">
        <v>3.92</v>
      </c>
      <c r="Q33">
        <v>2.0299999999999998</v>
      </c>
      <c r="R33">
        <v>16.45</v>
      </c>
      <c r="S33">
        <v>66.23</v>
      </c>
      <c r="T33">
        <v>481.83</v>
      </c>
    </row>
    <row r="34" spans="1:20" x14ac:dyDescent="0.25">
      <c r="A34">
        <f t="shared" si="0"/>
        <v>33</v>
      </c>
      <c r="B34">
        <v>21.77</v>
      </c>
      <c r="C34">
        <v>54.38</v>
      </c>
      <c r="D34">
        <v>11.48</v>
      </c>
      <c r="E34">
        <v>88.16</v>
      </c>
      <c r="F34">
        <v>9.49</v>
      </c>
      <c r="G34">
        <v>11.4</v>
      </c>
      <c r="H34">
        <v>0.76</v>
      </c>
      <c r="I34">
        <v>1.0900000000000001</v>
      </c>
      <c r="J34">
        <v>170.51</v>
      </c>
      <c r="K34">
        <v>1004.26</v>
      </c>
      <c r="L34">
        <v>1004.26</v>
      </c>
      <c r="M34">
        <v>40.130000000000003</v>
      </c>
      <c r="N34">
        <v>0.21</v>
      </c>
      <c r="O34">
        <v>0.09</v>
      </c>
      <c r="P34">
        <v>3.38</v>
      </c>
      <c r="Q34">
        <v>1.2</v>
      </c>
      <c r="R34">
        <v>6.82</v>
      </c>
      <c r="S34">
        <v>25</v>
      </c>
      <c r="T34">
        <v>532</v>
      </c>
    </row>
    <row r="35" spans="1:20" x14ac:dyDescent="0.25">
      <c r="A35">
        <f t="shared" si="0"/>
        <v>34</v>
      </c>
      <c r="B35">
        <v>21.91</v>
      </c>
      <c r="C35">
        <v>50.35</v>
      </c>
      <c r="D35">
        <v>7.04</v>
      </c>
      <c r="E35">
        <v>89.9</v>
      </c>
      <c r="F35">
        <v>5.38</v>
      </c>
      <c r="G35">
        <v>6.87</v>
      </c>
      <c r="H35">
        <v>0.66</v>
      </c>
      <c r="I35">
        <v>0.91</v>
      </c>
      <c r="J35">
        <v>209.96</v>
      </c>
      <c r="K35">
        <v>1001.7</v>
      </c>
      <c r="L35">
        <v>1001.7</v>
      </c>
      <c r="M35">
        <v>23.45</v>
      </c>
      <c r="N35">
        <v>0.09</v>
      </c>
      <c r="O35">
        <v>0.05</v>
      </c>
      <c r="P35">
        <v>1.55</v>
      </c>
      <c r="Q35">
        <v>0.65</v>
      </c>
      <c r="R35">
        <v>5.14</v>
      </c>
      <c r="S35">
        <v>18.07</v>
      </c>
      <c r="T35">
        <v>592.66999999999996</v>
      </c>
    </row>
    <row r="36" spans="1:20" x14ac:dyDescent="0.25">
      <c r="A36">
        <f t="shared" si="0"/>
        <v>35</v>
      </c>
      <c r="B36">
        <v>21.7</v>
      </c>
      <c r="C36">
        <v>47.68</v>
      </c>
      <c r="D36">
        <v>4.93</v>
      </c>
      <c r="E36">
        <v>91.52</v>
      </c>
      <c r="F36">
        <v>3.6</v>
      </c>
      <c r="G36">
        <v>4.6900000000000004</v>
      </c>
      <c r="H36">
        <v>0.6</v>
      </c>
      <c r="I36">
        <v>0.84</v>
      </c>
      <c r="J36">
        <v>185.45</v>
      </c>
      <c r="K36">
        <v>1007.46</v>
      </c>
      <c r="L36">
        <v>1007.46</v>
      </c>
      <c r="M36">
        <v>14.94</v>
      </c>
      <c r="N36">
        <v>0.02</v>
      </c>
      <c r="O36">
        <v>0.05</v>
      </c>
      <c r="P36">
        <v>1.66</v>
      </c>
      <c r="Q36">
        <v>0.64</v>
      </c>
      <c r="R36">
        <v>4.71</v>
      </c>
      <c r="S36">
        <v>34.22</v>
      </c>
      <c r="T36">
        <v>649.72</v>
      </c>
    </row>
    <row r="37" spans="1:20" x14ac:dyDescent="0.25">
      <c r="A37">
        <f t="shared" si="0"/>
        <v>36</v>
      </c>
      <c r="B37">
        <v>21.77</v>
      </c>
      <c r="C37">
        <v>42.26</v>
      </c>
      <c r="D37">
        <v>2.15</v>
      </c>
      <c r="E37">
        <v>90.31</v>
      </c>
      <c r="F37">
        <v>0.65</v>
      </c>
      <c r="G37">
        <v>1.74</v>
      </c>
      <c r="H37">
        <v>0.7</v>
      </c>
      <c r="I37">
        <v>1.01</v>
      </c>
      <c r="J37">
        <v>163.43</v>
      </c>
      <c r="K37">
        <v>995.56</v>
      </c>
      <c r="L37">
        <v>995.56</v>
      </c>
      <c r="M37">
        <v>17.420000000000002</v>
      </c>
      <c r="N37">
        <v>0.04</v>
      </c>
      <c r="O37">
        <v>0.05</v>
      </c>
      <c r="P37">
        <v>1.93</v>
      </c>
      <c r="Q37">
        <v>0.45</v>
      </c>
      <c r="R37">
        <v>4.38</v>
      </c>
      <c r="S37">
        <v>17.440000000000001</v>
      </c>
      <c r="T37">
        <v>17.440000000000001</v>
      </c>
    </row>
    <row r="38" spans="1:20" x14ac:dyDescent="0.25">
      <c r="A38">
        <f t="shared" si="0"/>
        <v>37</v>
      </c>
      <c r="B38">
        <v>21.86</v>
      </c>
      <c r="C38">
        <v>44.96</v>
      </c>
      <c r="D38">
        <v>5.91</v>
      </c>
      <c r="E38">
        <v>91.2</v>
      </c>
      <c r="F38">
        <v>4.47</v>
      </c>
      <c r="G38">
        <v>5.71</v>
      </c>
      <c r="H38">
        <v>0.74</v>
      </c>
      <c r="I38">
        <v>1.07</v>
      </c>
      <c r="J38">
        <v>182.44</v>
      </c>
      <c r="K38">
        <v>994.8</v>
      </c>
      <c r="L38">
        <v>994.8</v>
      </c>
      <c r="M38">
        <v>31.83</v>
      </c>
      <c r="N38">
        <v>0.14000000000000001</v>
      </c>
      <c r="O38">
        <v>0.14000000000000001</v>
      </c>
      <c r="P38">
        <v>7.29</v>
      </c>
      <c r="Q38">
        <v>2.0499999999999998</v>
      </c>
      <c r="R38">
        <v>14.51</v>
      </c>
      <c r="S38">
        <v>44.32</v>
      </c>
      <c r="T38">
        <v>82.92</v>
      </c>
    </row>
    <row r="39" spans="1:20" x14ac:dyDescent="0.25">
      <c r="A39">
        <f>A38+1</f>
        <v>38</v>
      </c>
      <c r="B39">
        <v>22.42</v>
      </c>
      <c r="C39">
        <v>41.7</v>
      </c>
      <c r="D39">
        <v>8.31</v>
      </c>
      <c r="E39">
        <v>77.03</v>
      </c>
      <c r="F39">
        <v>4.1100000000000003</v>
      </c>
      <c r="G39">
        <v>8.1300000000000008</v>
      </c>
      <c r="H39">
        <v>0.85</v>
      </c>
      <c r="I39">
        <v>1.17</v>
      </c>
      <c r="J39">
        <v>199.62</v>
      </c>
      <c r="K39">
        <v>1007.88</v>
      </c>
      <c r="L39">
        <v>1007.88</v>
      </c>
      <c r="M39">
        <v>73.569999999999993</v>
      </c>
      <c r="N39">
        <v>0.49</v>
      </c>
      <c r="O39">
        <v>0.06</v>
      </c>
      <c r="P39">
        <v>1.94</v>
      </c>
      <c r="Q39">
        <v>0.72</v>
      </c>
      <c r="R39">
        <v>4.3600000000000003</v>
      </c>
      <c r="S39">
        <v>17.510000000000002</v>
      </c>
      <c r="T39">
        <v>152.91</v>
      </c>
    </row>
    <row r="40" spans="1:20" x14ac:dyDescent="0.25">
      <c r="A40">
        <f t="shared" si="0"/>
        <v>39</v>
      </c>
      <c r="B40">
        <v>21.31</v>
      </c>
      <c r="C40">
        <v>43.39</v>
      </c>
      <c r="D40">
        <v>11.01</v>
      </c>
      <c r="E40">
        <v>68.650000000000006</v>
      </c>
      <c r="F40">
        <v>4.6399999999999997</v>
      </c>
      <c r="G40">
        <v>10.98</v>
      </c>
      <c r="H40">
        <v>0.79</v>
      </c>
      <c r="I40">
        <v>1.08</v>
      </c>
      <c r="J40">
        <v>187.46</v>
      </c>
      <c r="K40">
        <v>1010.02</v>
      </c>
      <c r="L40">
        <v>1010.02</v>
      </c>
      <c r="M40">
        <v>131.24</v>
      </c>
      <c r="N40">
        <v>1.03</v>
      </c>
      <c r="O40">
        <v>0.04</v>
      </c>
      <c r="P40">
        <v>1.1499999999999999</v>
      </c>
      <c r="Q40">
        <v>0.48</v>
      </c>
      <c r="R40">
        <v>2.5099999999999998</v>
      </c>
      <c r="S40">
        <v>19.47</v>
      </c>
      <c r="T40">
        <v>201.37</v>
      </c>
    </row>
    <row r="41" spans="1:20" x14ac:dyDescent="0.25">
      <c r="A41">
        <f t="shared" si="0"/>
        <v>40</v>
      </c>
      <c r="B41">
        <v>22.72</v>
      </c>
      <c r="C41">
        <v>48.15</v>
      </c>
      <c r="D41">
        <v>15.01</v>
      </c>
      <c r="E41">
        <v>76.680000000000007</v>
      </c>
      <c r="F41">
        <v>10.31</v>
      </c>
      <c r="G41">
        <v>14.99</v>
      </c>
      <c r="H41">
        <v>0.65</v>
      </c>
      <c r="I41">
        <v>0.9</v>
      </c>
      <c r="J41">
        <v>171.11</v>
      </c>
      <c r="K41">
        <v>1005.8</v>
      </c>
      <c r="L41">
        <v>1005.8</v>
      </c>
      <c r="M41">
        <v>146.19</v>
      </c>
      <c r="N41">
        <v>1.1399999999999999</v>
      </c>
      <c r="O41">
        <v>0.11</v>
      </c>
      <c r="P41">
        <v>3.16</v>
      </c>
      <c r="Q41">
        <v>1.2</v>
      </c>
      <c r="R41">
        <v>11.62</v>
      </c>
      <c r="S41">
        <v>42.24</v>
      </c>
      <c r="T41">
        <v>257.14</v>
      </c>
    </row>
    <row r="42" spans="1:20" x14ac:dyDescent="0.25">
      <c r="A42">
        <f t="shared" si="0"/>
        <v>41</v>
      </c>
      <c r="B42">
        <v>22.65</v>
      </c>
      <c r="C42">
        <v>53.23</v>
      </c>
      <c r="D42">
        <v>15.6</v>
      </c>
      <c r="E42">
        <v>81.819999999999993</v>
      </c>
      <c r="F42">
        <v>12.23</v>
      </c>
      <c r="G42">
        <v>15.6</v>
      </c>
      <c r="H42">
        <v>0.77</v>
      </c>
      <c r="I42">
        <v>1.1000000000000001</v>
      </c>
      <c r="J42">
        <v>180.58</v>
      </c>
      <c r="K42">
        <v>1003.94</v>
      </c>
      <c r="L42">
        <v>1003.94</v>
      </c>
      <c r="M42">
        <v>143.31</v>
      </c>
      <c r="N42">
        <v>1.1100000000000001</v>
      </c>
      <c r="O42">
        <v>0.08</v>
      </c>
      <c r="P42">
        <v>3.62</v>
      </c>
      <c r="Q42">
        <v>1.03</v>
      </c>
      <c r="R42">
        <v>6.8</v>
      </c>
      <c r="S42">
        <v>13.56</v>
      </c>
      <c r="T42">
        <v>315.06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month_average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Bonerz</dc:creator>
  <cp:lastModifiedBy>Benedikt Bonerz</cp:lastModifiedBy>
  <dcterms:created xsi:type="dcterms:W3CDTF">2026-06-13T17:54:07Z</dcterms:created>
  <dcterms:modified xsi:type="dcterms:W3CDTF">2026-06-13T17:54:07Z</dcterms:modified>
</cp:coreProperties>
</file>